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eb182a421bd5fb8/Desktop/"/>
    </mc:Choice>
  </mc:AlternateContent>
  <xr:revisionPtr revIDLastSave="4" documentId="11_AD4DF75460589B3ACB728425171A631C5ADEDDA1" xr6:coauthVersionLast="47" xr6:coauthVersionMax="47" xr10:uidLastSave="{A06BC6FC-D86A-4B7D-9C92-059CF115CA34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3" i="1" l="1"/>
  <c r="Y34" i="1"/>
  <c r="Y35" i="1"/>
  <c r="Y36" i="1"/>
  <c r="Y37" i="1"/>
  <c r="Y38" i="1"/>
  <c r="Y39" i="1"/>
  <c r="Y40" i="1"/>
  <c r="X36" i="1"/>
  <c r="W37" i="1" s="1"/>
  <c r="X37" i="1"/>
  <c r="W38" i="1" s="1"/>
  <c r="V39" i="1" s="1"/>
  <c r="X38" i="1"/>
  <c r="W39" i="1" s="1"/>
  <c r="X39" i="1"/>
  <c r="W40" i="1" s="1"/>
  <c r="X40" i="1"/>
  <c r="X33" i="1"/>
  <c r="Y32" i="1"/>
  <c r="Z40" i="1"/>
  <c r="Z33" i="1"/>
  <c r="Z34" i="1"/>
  <c r="Z35" i="1"/>
  <c r="Z36" i="1"/>
  <c r="Z37" i="1"/>
  <c r="Z38" i="1"/>
  <c r="Z39" i="1"/>
  <c r="Z32" i="1"/>
  <c r="Z31" i="1"/>
  <c r="Y23" i="1"/>
  <c r="X24" i="1" s="1"/>
  <c r="Y24" i="1"/>
  <c r="X25" i="1" s="1"/>
  <c r="Y25" i="1"/>
  <c r="X26" i="1" s="1"/>
  <c r="Y26" i="1"/>
  <c r="X27" i="1" s="1"/>
  <c r="W28" i="1" s="1"/>
  <c r="Y27" i="1"/>
  <c r="X28" i="1" s="1"/>
  <c r="Y28" i="1"/>
  <c r="X29" i="1" s="1"/>
  <c r="Y29" i="1"/>
  <c r="X30" i="1" s="1"/>
  <c r="Y30" i="1"/>
  <c r="Y22" i="1"/>
  <c r="X23" i="1" s="1"/>
  <c r="W24" i="1" s="1"/>
  <c r="Z30" i="1"/>
  <c r="Z29" i="1"/>
  <c r="Z22" i="1"/>
  <c r="Z23" i="1"/>
  <c r="Z24" i="1"/>
  <c r="Z25" i="1"/>
  <c r="Z26" i="1"/>
  <c r="Z27" i="1"/>
  <c r="Z28" i="1"/>
  <c r="Z21" i="1"/>
  <c r="Z12" i="1"/>
  <c r="Z13" i="1"/>
  <c r="Z14" i="1"/>
  <c r="Z15" i="1"/>
  <c r="Z16" i="1"/>
  <c r="Z17" i="1"/>
  <c r="Z18" i="1"/>
  <c r="Z19" i="1"/>
  <c r="Z20" i="1"/>
  <c r="Z11" i="1"/>
  <c r="Y13" i="1"/>
  <c r="Y14" i="1"/>
  <c r="X15" i="1" s="1"/>
  <c r="Y15" i="1"/>
  <c r="Y16" i="1"/>
  <c r="Y17" i="1"/>
  <c r="Y18" i="1"/>
  <c r="Y19" i="1"/>
  <c r="Y12" i="1"/>
  <c r="X13" i="1" s="1"/>
  <c r="S10" i="1"/>
  <c r="S8" i="1"/>
  <c r="T7" i="1"/>
  <c r="T8" i="1"/>
  <c r="U6" i="1"/>
  <c r="U7" i="1"/>
  <c r="U8" i="1"/>
  <c r="V5" i="1"/>
  <c r="V6" i="1"/>
  <c r="V7" i="1"/>
  <c r="V8" i="1"/>
  <c r="W4" i="1"/>
  <c r="W5" i="1"/>
  <c r="W6" i="1"/>
  <c r="W7" i="1"/>
  <c r="W8" i="1"/>
  <c r="V4" i="1"/>
  <c r="U5" i="1" s="1"/>
  <c r="W3" i="1"/>
  <c r="X3" i="1"/>
  <c r="X4" i="1"/>
  <c r="X5" i="1"/>
  <c r="X6" i="1"/>
  <c r="X7" i="1"/>
  <c r="X8" i="1"/>
  <c r="X2" i="1"/>
  <c r="N14" i="1"/>
  <c r="F23" i="1"/>
  <c r="G22" i="1"/>
  <c r="G23" i="1"/>
  <c r="H21" i="1"/>
  <c r="H22" i="1"/>
  <c r="H23" i="1"/>
  <c r="I20" i="1"/>
  <c r="I21" i="1"/>
  <c r="I22" i="1"/>
  <c r="I23" i="1"/>
  <c r="J19" i="1"/>
  <c r="J20" i="1"/>
  <c r="J21" i="1"/>
  <c r="J22" i="1"/>
  <c r="J23" i="1"/>
  <c r="K18" i="1"/>
  <c r="K19" i="1"/>
  <c r="K20" i="1"/>
  <c r="K21" i="1"/>
  <c r="K22" i="1"/>
  <c r="K23" i="1"/>
  <c r="L17" i="1"/>
  <c r="L18" i="1"/>
  <c r="L19" i="1"/>
  <c r="L20" i="1"/>
  <c r="L21" i="1"/>
  <c r="L22" i="1"/>
  <c r="L23" i="1"/>
  <c r="M16" i="1"/>
  <c r="M17" i="1"/>
  <c r="M18" i="1"/>
  <c r="M19" i="1"/>
  <c r="M20" i="1"/>
  <c r="M21" i="1"/>
  <c r="M22" i="1"/>
  <c r="M23" i="1"/>
  <c r="L16" i="1"/>
  <c r="K17" i="1" s="1"/>
  <c r="J18" i="1" s="1"/>
  <c r="I19" i="1" s="1"/>
  <c r="H20" i="1" s="1"/>
  <c r="G21" i="1" s="1"/>
  <c r="F22" i="1" s="1"/>
  <c r="M15" i="1"/>
  <c r="N15" i="1"/>
  <c r="N16" i="1"/>
  <c r="N17" i="1"/>
  <c r="N18" i="1"/>
  <c r="N19" i="1"/>
  <c r="N20" i="1"/>
  <c r="N21" i="1"/>
  <c r="N22" i="1"/>
  <c r="N23" i="1"/>
  <c r="O2" i="1"/>
  <c r="O3" i="1"/>
  <c r="O4" i="1"/>
  <c r="O5" i="1"/>
  <c r="O6" i="1"/>
  <c r="O7" i="1"/>
  <c r="O8" i="1"/>
  <c r="O9" i="1"/>
  <c r="O10" i="1"/>
  <c r="N3" i="1"/>
  <c r="N4" i="1"/>
  <c r="N5" i="1"/>
  <c r="N6" i="1"/>
  <c r="N7" i="1"/>
  <c r="N8" i="1"/>
  <c r="N9" i="1"/>
  <c r="N10" i="1"/>
  <c r="M4" i="1"/>
  <c r="M5" i="1"/>
  <c r="M6" i="1"/>
  <c r="M7" i="1"/>
  <c r="M8" i="1"/>
  <c r="M9" i="1"/>
  <c r="M10" i="1"/>
  <c r="L5" i="1"/>
  <c r="L6" i="1"/>
  <c r="L7" i="1"/>
  <c r="L8" i="1"/>
  <c r="L9" i="1"/>
  <c r="L10" i="1"/>
  <c r="K6" i="1"/>
  <c r="K7" i="1"/>
  <c r="K8" i="1"/>
  <c r="K9" i="1"/>
  <c r="K10" i="1"/>
  <c r="J7" i="1"/>
  <c r="J8" i="1"/>
  <c r="J9" i="1"/>
  <c r="J10" i="1"/>
  <c r="I8" i="1"/>
  <c r="I9" i="1"/>
  <c r="I10" i="1"/>
  <c r="H9" i="1"/>
  <c r="H10" i="1"/>
  <c r="G10" i="1"/>
  <c r="O1" i="1"/>
  <c r="N2" i="1"/>
  <c r="M3" i="1"/>
  <c r="L4" i="1"/>
  <c r="K5" i="1"/>
  <c r="J6" i="1"/>
  <c r="I7" i="1"/>
  <c r="H8" i="1"/>
  <c r="G9" i="1"/>
  <c r="F10" i="1"/>
  <c r="G11" i="1"/>
  <c r="H11" i="1"/>
  <c r="I11" i="1"/>
  <c r="J11" i="1"/>
  <c r="K11" i="1"/>
  <c r="L11" i="1"/>
  <c r="M11" i="1"/>
  <c r="N11" i="1"/>
  <c r="O11" i="1"/>
  <c r="F11" i="1"/>
  <c r="E11" i="1"/>
  <c r="B5" i="1"/>
  <c r="B6" i="1" s="1"/>
  <c r="C3" i="1"/>
  <c r="B7" i="1" s="1"/>
  <c r="B8" i="1" s="1"/>
  <c r="X34" i="1" l="1"/>
  <c r="X35" i="1"/>
  <c r="W36" i="1" s="1"/>
  <c r="V37" i="1" s="1"/>
  <c r="V38" i="1"/>
  <c r="U39" i="1" s="1"/>
  <c r="V40" i="1"/>
  <c r="U40" i="1" s="1"/>
  <c r="W25" i="1"/>
  <c r="W26" i="1"/>
  <c r="V27" i="1" s="1"/>
  <c r="U28" i="1" s="1"/>
  <c r="W27" i="1"/>
  <c r="V28" i="1" s="1"/>
  <c r="W29" i="1"/>
  <c r="W30" i="1"/>
  <c r="X18" i="1"/>
  <c r="X16" i="1"/>
  <c r="X19" i="1"/>
  <c r="X14" i="1"/>
  <c r="W14" i="1" s="1"/>
  <c r="X17" i="1"/>
  <c r="Y20" i="1"/>
  <c r="X20" i="1" s="1"/>
  <c r="W15" i="1"/>
  <c r="W18" i="1"/>
  <c r="W19" i="1"/>
  <c r="W20" i="1"/>
  <c r="T6" i="1"/>
  <c r="E23" i="1"/>
  <c r="W34" i="1" l="1"/>
  <c r="W35" i="1"/>
  <c r="V36" i="1" s="1"/>
  <c r="U37" i="1" s="1"/>
  <c r="U38" i="1"/>
  <c r="T39" i="1" s="1"/>
  <c r="T40" i="1"/>
  <c r="V25" i="1"/>
  <c r="V26" i="1"/>
  <c r="U27" i="1" s="1"/>
  <c r="T28" i="1" s="1"/>
  <c r="V29" i="1"/>
  <c r="V30" i="1"/>
  <c r="W17" i="1"/>
  <c r="W16" i="1"/>
  <c r="V18" i="1"/>
  <c r="V15" i="1"/>
  <c r="V16" i="1"/>
  <c r="V17" i="1"/>
  <c r="U18" i="1" s="1"/>
  <c r="V19" i="1"/>
  <c r="V20" i="1"/>
  <c r="S7" i="1"/>
  <c r="V35" i="1" l="1"/>
  <c r="U36" i="1" s="1"/>
  <c r="T37" i="1" s="1"/>
  <c r="S38" i="1" s="1"/>
  <c r="R39" i="1" s="1"/>
  <c r="T38" i="1"/>
  <c r="S39" i="1" s="1"/>
  <c r="S40" i="1"/>
  <c r="U29" i="1"/>
  <c r="U30" i="1"/>
  <c r="U26" i="1"/>
  <c r="T27" i="1" s="1"/>
  <c r="U19" i="1"/>
  <c r="U20" i="1"/>
  <c r="U16" i="1"/>
  <c r="U17" i="1"/>
  <c r="T18" i="1" s="1"/>
  <c r="R8" i="1"/>
  <c r="R40" i="1" l="1"/>
  <c r="Q40" i="1" s="1"/>
  <c r="T29" i="1"/>
  <c r="T30" i="1"/>
  <c r="S28" i="1"/>
  <c r="T19" i="1"/>
  <c r="T20" i="1"/>
  <c r="T17" i="1"/>
  <c r="S18" i="1" s="1"/>
  <c r="S29" i="1" l="1"/>
  <c r="S30" i="1"/>
  <c r="R29" i="1"/>
  <c r="S19" i="1"/>
  <c r="S20" i="1"/>
  <c r="R30" i="1" l="1"/>
  <c r="Q30" i="1" s="1"/>
  <c r="R19" i="1"/>
  <c r="R20" i="1"/>
  <c r="Q20" i="1" l="1"/>
</calcChain>
</file>

<file path=xl/sharedStrings.xml><?xml version="1.0" encoding="utf-8"?>
<sst xmlns="http://schemas.openxmlformats.org/spreadsheetml/2006/main" count="20" uniqueCount="19">
  <si>
    <t>n</t>
  </si>
  <si>
    <t>T</t>
  </si>
  <si>
    <r>
      <t>r</t>
    </r>
    <r>
      <rPr>
        <vertAlign val="subscript"/>
        <sz val="10"/>
        <color theme="1"/>
        <rFont val="Times New Roman"/>
        <family val="1"/>
        <charset val="204"/>
      </rPr>
      <t>0</t>
    </r>
  </si>
  <si>
    <t>σ</t>
  </si>
  <si>
    <t>u</t>
  </si>
  <si>
    <t>d</t>
  </si>
  <si>
    <t>p</t>
  </si>
  <si>
    <t>q</t>
  </si>
  <si>
    <t>t</t>
  </si>
  <si>
    <t>k</t>
  </si>
  <si>
    <t>E</t>
  </si>
  <si>
    <t>N1</t>
  </si>
  <si>
    <t>Ft=</t>
  </si>
  <si>
    <t>N2</t>
  </si>
  <si>
    <t>N3</t>
  </si>
  <si>
    <t>N4</t>
  </si>
  <si>
    <t xml:space="preserve"> N5</t>
  </si>
  <si>
    <t>E=70%</t>
  </si>
  <si>
    <t>E=80%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</si>
</sst>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  <charset val="204"/>
    </font>
    <font>
      <vertAlign val="subscript"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9" fontId="0" fillId="0" borderId="0" xfId="1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10" fontId="0" fillId="0" borderId="0" xfId="0" applyNumberFormat="1"/>
    <xf numFmtId="10" fontId="0" fillId="0" borderId="10" xfId="0" applyNumberFormat="1" applyBorder="1"/>
    <xf numFmtId="10" fontId="0" fillId="0" borderId="11" xfId="0" applyNumberFormat="1" applyBorder="1"/>
    <xf numFmtId="10" fontId="0" fillId="0" borderId="12" xfId="0" applyNumberFormat="1" applyBorder="1"/>
    <xf numFmtId="10" fontId="0" fillId="0" borderId="13" xfId="0" applyNumberFormat="1" applyBorder="1"/>
    <xf numFmtId="0" fontId="0" fillId="2" borderId="6" xfId="0" applyFill="1" applyBorder="1"/>
    <xf numFmtId="0" fontId="0" fillId="0" borderId="0" xfId="0" applyAlignment="1">
      <alignment horizontal="right"/>
    </xf>
    <xf numFmtId="10" fontId="0" fillId="2" borderId="6" xfId="0" applyNumberFormat="1" applyFill="1" applyBorder="1"/>
    <xf numFmtId="164" fontId="0" fillId="2" borderId="6" xfId="0" applyNumberFormat="1" applyFill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533400</xdr:colOff>
      <xdr:row>14</xdr:row>
      <xdr:rowOff>72390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C14D99-70B2-B340-F2B8-86457B0F34C8}"/>
            </a:ext>
          </a:extLst>
        </xdr:cNvPr>
        <xdr:cNvSpPr txBox="1"/>
      </xdr:nvSpPr>
      <xdr:spPr>
        <a:xfrm>
          <a:off x="7848600" y="2655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topLeftCell="D13" workbookViewId="0">
      <selection activeCell="U40" sqref="U40"/>
    </sheetView>
  </sheetViews>
  <sheetFormatPr defaultRowHeight="14.4" x14ac:dyDescent="0.3"/>
  <cols>
    <col min="17" max="17" width="9.88671875" bestFit="1" customWidth="1"/>
    <col min="18" max="18" width="8.88671875" customWidth="1"/>
    <col min="19" max="19" width="9.109375" customWidth="1"/>
    <col min="20" max="26" width="9" bestFit="1" customWidth="1"/>
  </cols>
  <sheetData>
    <row r="1" spans="1:26" x14ac:dyDescent="0.3">
      <c r="A1" s="1" t="s">
        <v>0</v>
      </c>
      <c r="B1" s="2">
        <v>10</v>
      </c>
      <c r="C1" s="2"/>
      <c r="D1" s="24" t="s">
        <v>11</v>
      </c>
      <c r="E1" s="15"/>
      <c r="F1" s="16"/>
      <c r="G1" s="16"/>
      <c r="H1" s="16"/>
      <c r="I1" s="16"/>
      <c r="J1" s="16"/>
      <c r="K1" s="16"/>
      <c r="L1" s="16"/>
      <c r="M1" s="16"/>
      <c r="N1" s="16"/>
      <c r="O1" s="17">
        <f>N2*$B$5</f>
        <v>0.13591409142295238</v>
      </c>
      <c r="P1" s="10"/>
      <c r="Q1" s="24" t="s">
        <v>13</v>
      </c>
      <c r="R1" s="15"/>
      <c r="S1" s="16"/>
      <c r="T1" s="16"/>
      <c r="U1" s="16"/>
      <c r="V1" s="16"/>
      <c r="W1" s="16"/>
      <c r="X1" s="16"/>
      <c r="Y1" s="17">
        <v>1</v>
      </c>
    </row>
    <row r="2" spans="1:26" x14ac:dyDescent="0.3">
      <c r="A2" s="3" t="s">
        <v>1</v>
      </c>
      <c r="B2">
        <v>10</v>
      </c>
      <c r="D2" s="11"/>
      <c r="E2" s="18"/>
      <c r="F2" s="19"/>
      <c r="G2" s="19"/>
      <c r="H2" s="19"/>
      <c r="I2" s="19"/>
      <c r="J2" s="19"/>
      <c r="K2" s="19"/>
      <c r="L2" s="19"/>
      <c r="M2" s="19"/>
      <c r="N2" s="19">
        <f>M3*$B$5</f>
        <v>0.12298015555784758</v>
      </c>
      <c r="O2" s="20">
        <f t="shared" ref="O2:O10" si="0">N3*$B$5</f>
        <v>0.11127704642462347</v>
      </c>
      <c r="P2" s="12"/>
      <c r="Q2" s="11"/>
      <c r="R2" s="18"/>
      <c r="S2" s="19"/>
      <c r="T2" s="19"/>
      <c r="U2" s="19"/>
      <c r="V2" s="19"/>
      <c r="W2" s="19"/>
      <c r="X2" s="19">
        <f>($B$7*Y1+$B$8*Y2)/(1+K5)</f>
        <v>0.91650128857524582</v>
      </c>
      <c r="Y2" s="20">
        <v>1</v>
      </c>
    </row>
    <row r="3" spans="1:26" ht="15.6" x14ac:dyDescent="0.35">
      <c r="A3" s="4" t="s">
        <v>2</v>
      </c>
      <c r="B3">
        <v>5</v>
      </c>
      <c r="C3">
        <f>B3/100</f>
        <v>0.05</v>
      </c>
      <c r="D3" s="11"/>
      <c r="E3" s="18"/>
      <c r="F3" s="19"/>
      <c r="G3" s="19"/>
      <c r="H3" s="19"/>
      <c r="I3" s="19"/>
      <c r="J3" s="19"/>
      <c r="K3" s="19"/>
      <c r="L3" s="19"/>
      <c r="M3" s="19">
        <f>L4*$B$5</f>
        <v>0.11127704642462347</v>
      </c>
      <c r="N3" s="19">
        <f t="shared" ref="N3:N10" si="1">M4*$B$5</f>
        <v>0.10068763537352389</v>
      </c>
      <c r="O3" s="20">
        <f t="shared" si="0"/>
        <v>9.1105940019525503E-2</v>
      </c>
      <c r="P3" s="12"/>
      <c r="Q3" s="11"/>
      <c r="R3" s="18"/>
      <c r="S3" s="19"/>
      <c r="T3" s="19"/>
      <c r="U3" s="19"/>
      <c r="V3" s="19"/>
      <c r="W3" s="19">
        <f>($B$7*X2+$B$8*X3)/(1+J6)</f>
        <v>0.85020346993291673</v>
      </c>
      <c r="X3" s="19">
        <f t="shared" ref="X3:X8" si="2">($B$7*Y2+$B$8*Y3)/(1+K6)</f>
        <v>0.93058641047798063</v>
      </c>
      <c r="Y3" s="20">
        <v>1</v>
      </c>
    </row>
    <row r="4" spans="1:26" x14ac:dyDescent="0.3">
      <c r="A4" s="5" t="s">
        <v>3</v>
      </c>
      <c r="B4">
        <v>0.1</v>
      </c>
      <c r="D4" s="11"/>
      <c r="E4" s="18"/>
      <c r="F4" s="19"/>
      <c r="G4" s="19"/>
      <c r="H4" s="19"/>
      <c r="I4" s="19"/>
      <c r="J4" s="19"/>
      <c r="K4" s="19"/>
      <c r="L4" s="19">
        <f>K5*$B$5</f>
        <v>0.10068763537352389</v>
      </c>
      <c r="M4" s="19">
        <f t="shared" ref="M4:M10" si="3">L5*$B$5</f>
        <v>9.1105940019525503E-2</v>
      </c>
      <c r="N4" s="19">
        <f t="shared" si="1"/>
        <v>8.2436063535006446E-2</v>
      </c>
      <c r="O4" s="20">
        <f t="shared" si="0"/>
        <v>7.459123488206354E-2</v>
      </c>
      <c r="P4" s="12"/>
      <c r="Q4" s="11"/>
      <c r="R4" s="18"/>
      <c r="S4" s="19"/>
      <c r="T4" s="19"/>
      <c r="U4" s="19"/>
      <c r="V4" s="19">
        <f>($B$7*W3+$B$8*W4)/(1+I7)</f>
        <v>0.79733068379100747</v>
      </c>
      <c r="W4" s="19">
        <f t="shared" ref="W4:W8" si="4">($B$7*X3+$B$8*X4)/(1+J7)</f>
        <v>0.87473825052685295</v>
      </c>
      <c r="X4" s="19">
        <f t="shared" si="2"/>
        <v>0.94244476804482169</v>
      </c>
      <c r="Y4" s="20">
        <v>1</v>
      </c>
    </row>
    <row r="5" spans="1:26" x14ac:dyDescent="0.3">
      <c r="A5" s="3" t="s">
        <v>4</v>
      </c>
      <c r="B5">
        <f xml:space="preserve"> EXP(B4*SQRT(B2/B1))</f>
        <v>1.1051709180756477</v>
      </c>
      <c r="D5" s="11"/>
      <c r="E5" s="18"/>
      <c r="F5" s="19"/>
      <c r="G5" s="19"/>
      <c r="H5" s="19"/>
      <c r="I5" s="19"/>
      <c r="J5" s="19"/>
      <c r="K5" s="19">
        <f>J6*$B$5</f>
        <v>9.1105940019525503E-2</v>
      </c>
      <c r="L5" s="19">
        <f t="shared" ref="L5:L10" si="5">K6*$B$5</f>
        <v>8.2436063535006446E-2</v>
      </c>
      <c r="M5" s="19">
        <f t="shared" si="3"/>
        <v>7.459123488206354E-2</v>
      </c>
      <c r="N5" s="19">
        <f t="shared" si="1"/>
        <v>6.7492940378800173E-2</v>
      </c>
      <c r="O5" s="20">
        <f t="shared" si="0"/>
        <v>6.1070137908008505E-2</v>
      </c>
      <c r="P5" s="12"/>
      <c r="Q5" s="11"/>
      <c r="R5" s="18"/>
      <c r="S5" s="19"/>
      <c r="T5" s="19"/>
      <c r="U5" s="19">
        <f>($B$7*V4+$B$8*V5)/(1+H8)</f>
        <v>0.75507454599399715</v>
      </c>
      <c r="V5" s="19">
        <f t="shared" ref="V5:V8" si="6">($B$7*W4+$B$8*W5)/(1+I8)</f>
        <v>0.82968916144443483</v>
      </c>
      <c r="W5" s="19">
        <f t="shared" si="4"/>
        <v>0.89562705438137957</v>
      </c>
      <c r="X5" s="19">
        <f t="shared" si="2"/>
        <v>0.95238095238095233</v>
      </c>
      <c r="Y5" s="20">
        <v>1</v>
      </c>
    </row>
    <row r="6" spans="1:26" x14ac:dyDescent="0.3">
      <c r="A6" s="3" t="s">
        <v>5</v>
      </c>
      <c r="B6">
        <f>1/B5</f>
        <v>0.90483741803595952</v>
      </c>
      <c r="D6" s="11"/>
      <c r="E6" s="18"/>
      <c r="F6" s="19"/>
      <c r="G6" s="19"/>
      <c r="H6" s="19"/>
      <c r="I6" s="19"/>
      <c r="J6" s="19">
        <f>I7*$B$5</f>
        <v>8.2436063535006446E-2</v>
      </c>
      <c r="K6" s="19">
        <f t="shared" ref="K6:K10" si="7">J7*$B$5</f>
        <v>7.459123488206354E-2</v>
      </c>
      <c r="L6" s="19">
        <f t="shared" si="5"/>
        <v>6.7492940378800173E-2</v>
      </c>
      <c r="M6" s="19">
        <f t="shared" si="3"/>
        <v>6.1070137908008505E-2</v>
      </c>
      <c r="N6" s="19">
        <f t="shared" si="1"/>
        <v>5.5258545903782388E-2</v>
      </c>
      <c r="O6" s="20">
        <f t="shared" si="0"/>
        <v>0.05</v>
      </c>
      <c r="P6" s="12"/>
      <c r="Q6" s="11"/>
      <c r="R6" s="18"/>
      <c r="S6" s="19"/>
      <c r="T6" s="19">
        <f>($B$7*U5+$B$8*U6)/(1+G9)</f>
        <v>0.72131744098464368</v>
      </c>
      <c r="U6" s="19">
        <f t="shared" ref="U6:U8" si="8">($B$7*V5+$B$8*V6)/(1+H9)</f>
        <v>0.79333447064602647</v>
      </c>
      <c r="V6" s="19">
        <f t="shared" si="6"/>
        <v>0.8575048294642259</v>
      </c>
      <c r="W6" s="19">
        <f t="shared" si="4"/>
        <v>0.91329294663104299</v>
      </c>
      <c r="X6" s="19">
        <f t="shared" si="2"/>
        <v>0.96067335887146077</v>
      </c>
      <c r="Y6" s="20">
        <v>1</v>
      </c>
    </row>
    <row r="7" spans="1:26" x14ac:dyDescent="0.3">
      <c r="A7" s="3" t="s">
        <v>6</v>
      </c>
      <c r="B7">
        <f>(EXP(C3*B2/B1)-B6)/(B5-B6)</f>
        <v>0.7309495332086472</v>
      </c>
      <c r="D7" s="11"/>
      <c r="E7" s="18"/>
      <c r="F7" s="19"/>
      <c r="G7" s="19"/>
      <c r="H7" s="19"/>
      <c r="I7" s="19">
        <f>H8*$B$5</f>
        <v>7.459123488206354E-2</v>
      </c>
      <c r="J7" s="19">
        <f t="shared" ref="J7:J10" si="9">I8*$B$5</f>
        <v>6.7492940378800173E-2</v>
      </c>
      <c r="K7" s="19">
        <f t="shared" si="7"/>
        <v>6.1070137908008505E-2</v>
      </c>
      <c r="L7" s="19">
        <f t="shared" si="5"/>
        <v>5.5258545903782388E-2</v>
      </c>
      <c r="M7" s="19">
        <f t="shared" si="3"/>
        <v>0.05</v>
      </c>
      <c r="N7" s="19">
        <f t="shared" si="1"/>
        <v>4.524187090179798E-2</v>
      </c>
      <c r="O7" s="20">
        <f t="shared" si="0"/>
        <v>4.093653765389909E-2</v>
      </c>
      <c r="P7" s="12"/>
      <c r="Q7" s="11"/>
      <c r="R7" s="18"/>
      <c r="S7" s="19">
        <f>($B$7*T6+$B$8*T7)/(1+F10)</f>
        <v>0.69444161813347083</v>
      </c>
      <c r="T7" s="19">
        <f t="shared" ref="T7:T8" si="10">($B$7*U6+$B$8*U7)/(1+G10)</f>
        <v>0.76405295941386542</v>
      </c>
      <c r="U7" s="19">
        <f t="shared" si="8"/>
        <v>0.82649232703231768</v>
      </c>
      <c r="V7" s="19">
        <f t="shared" si="6"/>
        <v>0.88121620527076416</v>
      </c>
      <c r="W7" s="19">
        <f t="shared" si="4"/>
        <v>0.92814963525040783</v>
      </c>
      <c r="X7" s="19">
        <f t="shared" si="2"/>
        <v>0.9675708917644843</v>
      </c>
      <c r="Y7" s="20">
        <v>1</v>
      </c>
    </row>
    <row r="8" spans="1:26" x14ac:dyDescent="0.3">
      <c r="A8" s="3" t="s">
        <v>7</v>
      </c>
      <c r="B8">
        <f>1-B7</f>
        <v>0.2690504667913528</v>
      </c>
      <c r="D8" s="11"/>
      <c r="E8" s="18"/>
      <c r="F8" s="19"/>
      <c r="G8" s="19"/>
      <c r="H8" s="19">
        <f>G9*$B$5</f>
        <v>6.7492940378800173E-2</v>
      </c>
      <c r="I8" s="19">
        <f t="shared" ref="I8:I10" si="11">H9*$B$5</f>
        <v>6.1070137908008505E-2</v>
      </c>
      <c r="J8" s="19">
        <f t="shared" si="9"/>
        <v>5.5258545903782388E-2</v>
      </c>
      <c r="K8" s="19">
        <f t="shared" si="7"/>
        <v>0.05</v>
      </c>
      <c r="L8" s="19">
        <f t="shared" si="5"/>
        <v>4.524187090179798E-2</v>
      </c>
      <c r="M8" s="19">
        <f t="shared" si="3"/>
        <v>4.093653765389909E-2</v>
      </c>
      <c r="N8" s="19">
        <f t="shared" si="1"/>
        <v>3.704091103408589E-2</v>
      </c>
      <c r="O8" s="20">
        <f t="shared" si="0"/>
        <v>3.3516002301781957E-2</v>
      </c>
      <c r="P8" s="12"/>
      <c r="Q8" s="13"/>
      <c r="R8" s="21">
        <f>($B$7*S7+$B$8*S8)/(1+E11)</f>
        <v>0.67319563685496231</v>
      </c>
      <c r="S8" s="22">
        <f>($B$7*T7+$B$8*T8)/(1+F11)</f>
        <v>0.74058091947824933</v>
      </c>
      <c r="T8" s="22">
        <f t="shared" si="10"/>
        <v>0.80134420270888018</v>
      </c>
      <c r="U8" s="22">
        <f t="shared" si="8"/>
        <v>0.85494844865066655</v>
      </c>
      <c r="V8" s="22">
        <f t="shared" si="6"/>
        <v>0.90128795191928168</v>
      </c>
      <c r="W8" s="22">
        <f t="shared" si="4"/>
        <v>0.94058553911584719</v>
      </c>
      <c r="X8" s="22">
        <f t="shared" si="2"/>
        <v>0.97329229320833155</v>
      </c>
      <c r="Y8" s="23">
        <v>1</v>
      </c>
    </row>
    <row r="9" spans="1:26" x14ac:dyDescent="0.3">
      <c r="A9" s="3" t="s">
        <v>8</v>
      </c>
      <c r="B9">
        <v>7</v>
      </c>
      <c r="D9" s="11"/>
      <c r="E9" s="18"/>
      <c r="F9" s="19"/>
      <c r="G9" s="19">
        <f>F10*$B$5</f>
        <v>6.1070137908008505E-2</v>
      </c>
      <c r="H9" s="19">
        <f t="shared" ref="H9:H10" si="12">G10*$B$5</f>
        <v>5.5258545903782388E-2</v>
      </c>
      <c r="I9" s="19">
        <f t="shared" si="11"/>
        <v>0.05</v>
      </c>
      <c r="J9" s="19">
        <f t="shared" si="9"/>
        <v>4.524187090179798E-2</v>
      </c>
      <c r="K9" s="19">
        <f t="shared" si="7"/>
        <v>4.093653765389909E-2</v>
      </c>
      <c r="L9" s="19">
        <f t="shared" si="5"/>
        <v>3.704091103408589E-2</v>
      </c>
      <c r="M9" s="19">
        <f t="shared" si="3"/>
        <v>3.3516002301781957E-2</v>
      </c>
      <c r="N9" s="19">
        <f t="shared" si="1"/>
        <v>3.0326532985631663E-2</v>
      </c>
      <c r="O9" s="20">
        <f t="shared" si="0"/>
        <v>2.7440581804701311E-2</v>
      </c>
      <c r="P9" s="12"/>
      <c r="Q9" s="24" t="s">
        <v>14</v>
      </c>
      <c r="R9" s="9"/>
      <c r="S9" s="10"/>
    </row>
    <row r="10" spans="1:26" ht="15" thickBot="1" x14ac:dyDescent="0.35">
      <c r="A10" s="6" t="s">
        <v>9</v>
      </c>
      <c r="B10" s="7">
        <v>9</v>
      </c>
      <c r="C10" s="7"/>
      <c r="D10" s="11"/>
      <c r="E10" s="18"/>
      <c r="F10" s="19">
        <f>E11*$B$5</f>
        <v>5.5258545903782388E-2</v>
      </c>
      <c r="G10" s="19">
        <f>F11*$B$5</f>
        <v>0.05</v>
      </c>
      <c r="H10" s="19">
        <f t="shared" si="12"/>
        <v>4.524187090179798E-2</v>
      </c>
      <c r="I10" s="19">
        <f t="shared" si="11"/>
        <v>4.093653765389909E-2</v>
      </c>
      <c r="J10" s="19">
        <f t="shared" si="9"/>
        <v>3.704091103408589E-2</v>
      </c>
      <c r="K10" s="19">
        <f t="shared" si="7"/>
        <v>3.3516002301781957E-2</v>
      </c>
      <c r="L10" s="19">
        <f t="shared" si="5"/>
        <v>3.0326532985631663E-2</v>
      </c>
      <c r="M10" s="19">
        <f t="shared" si="3"/>
        <v>2.7440581804701311E-2</v>
      </c>
      <c r="N10" s="19">
        <f t="shared" si="1"/>
        <v>2.4829265189570463E-2</v>
      </c>
      <c r="O10" s="20">
        <f t="shared" si="0"/>
        <v>2.2466448205861068E-2</v>
      </c>
      <c r="P10" s="12"/>
      <c r="Q10" s="11"/>
      <c r="R10" s="25" t="s">
        <v>12</v>
      </c>
      <c r="S10" s="20">
        <f>E23/R8</f>
        <v>0.80855631814179107</v>
      </c>
    </row>
    <row r="11" spans="1:26" x14ac:dyDescent="0.3">
      <c r="A11" t="s">
        <v>10</v>
      </c>
      <c r="B11" s="8">
        <v>0.7</v>
      </c>
      <c r="D11" s="11"/>
      <c r="E11" s="21">
        <f>5%</f>
        <v>0.05</v>
      </c>
      <c r="F11" s="22">
        <f>E11*$B$6</f>
        <v>4.524187090179798E-2</v>
      </c>
      <c r="G11" s="22">
        <f t="shared" ref="G11:O11" si="13">F11*$B$6</f>
        <v>4.093653765389909E-2</v>
      </c>
      <c r="H11" s="22">
        <f t="shared" si="13"/>
        <v>3.704091103408589E-2</v>
      </c>
      <c r="I11" s="22">
        <f t="shared" si="13"/>
        <v>3.3516002301781957E-2</v>
      </c>
      <c r="J11" s="22">
        <f t="shared" si="13"/>
        <v>3.0326532985631663E-2</v>
      </c>
      <c r="K11" s="22">
        <f t="shared" si="13"/>
        <v>2.7440581804701311E-2</v>
      </c>
      <c r="L11" s="22">
        <f t="shared" si="13"/>
        <v>2.4829265189570463E-2</v>
      </c>
      <c r="M11" s="22">
        <f t="shared" si="13"/>
        <v>2.2466448205861068E-2</v>
      </c>
      <c r="N11" s="22">
        <f t="shared" si="13"/>
        <v>2.0328482987029942E-2</v>
      </c>
      <c r="O11" s="23">
        <f t="shared" si="13"/>
        <v>1.8393972058572104E-2</v>
      </c>
      <c r="Q11" s="26" t="s">
        <v>15</v>
      </c>
      <c r="R11" s="16"/>
      <c r="S11" s="16"/>
      <c r="T11" s="16"/>
      <c r="U11" s="16"/>
      <c r="V11" s="16"/>
      <c r="W11" s="16"/>
      <c r="X11" s="16"/>
      <c r="Y11" s="16"/>
      <c r="Z11" s="17">
        <f>N14</f>
        <v>0.89048768586942983</v>
      </c>
    </row>
    <row r="12" spans="1:26" x14ac:dyDescent="0.3">
      <c r="A12" t="s">
        <v>10</v>
      </c>
      <c r="B12" s="8">
        <v>0.8</v>
      </c>
      <c r="D12" s="11"/>
      <c r="Q12" s="18"/>
      <c r="R12" s="19"/>
      <c r="S12" s="19"/>
      <c r="T12" s="19"/>
      <c r="U12" s="19"/>
      <c r="V12" s="19"/>
      <c r="W12" s="19"/>
      <c r="X12" s="19"/>
      <c r="Y12" s="19">
        <f>$B$7*Z11+$B$8*Z12</f>
        <v>0.89534008759791295</v>
      </c>
      <c r="Z12" s="20">
        <f t="shared" ref="Z12:Z20" si="14">N15</f>
        <v>0.90852297042534225</v>
      </c>
    </row>
    <row r="13" spans="1:26" x14ac:dyDescent="0.3">
      <c r="D13" s="11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7">
        <v>1</v>
      </c>
      <c r="Q13" s="18"/>
      <c r="R13" s="19"/>
      <c r="S13" s="19"/>
      <c r="T13" s="19"/>
      <c r="U13" s="19"/>
      <c r="V13" s="19"/>
      <c r="W13" s="19"/>
      <c r="X13" s="19">
        <f>$B$7*Y12+$B$8*Y13</f>
        <v>0.89999587147746951</v>
      </c>
      <c r="Y13" s="19">
        <f t="shared" ref="Y13:Y20" si="15">$B$7*Z12+$B$8*Z13</f>
        <v>0.91264458788397651</v>
      </c>
      <c r="Z13" s="20">
        <f t="shared" si="14"/>
        <v>0.92384209440898724</v>
      </c>
    </row>
    <row r="14" spans="1:26" x14ac:dyDescent="0.3">
      <c r="D14" s="11"/>
      <c r="E14" s="18"/>
      <c r="F14" s="19"/>
      <c r="G14" s="19"/>
      <c r="H14" s="19"/>
      <c r="I14" s="19"/>
      <c r="J14" s="19"/>
      <c r="K14" s="19"/>
      <c r="L14" s="19"/>
      <c r="M14" s="19"/>
      <c r="N14" s="19">
        <f>($B$7*O13+$B$8*O14)/(1+N2)</f>
        <v>0.89048768586942983</v>
      </c>
      <c r="O14" s="20">
        <v>1</v>
      </c>
      <c r="Q14" s="18"/>
      <c r="R14" s="19"/>
      <c r="S14" s="19"/>
      <c r="T14" s="19"/>
      <c r="U14" s="19"/>
      <c r="V14" s="19"/>
      <c r="W14" s="19">
        <f>$B$7*X13+$B$8*X14</f>
        <v>0.90446145072683781</v>
      </c>
      <c r="X14" s="19">
        <f t="shared" ref="X14:X20" si="16">$B$7*Y13+$B$8*Y14</f>
        <v>0.91659342398359933</v>
      </c>
      <c r="Y14" s="19">
        <f t="shared" si="15"/>
        <v>0.92732152246326183</v>
      </c>
      <c r="Z14" s="20">
        <f t="shared" si="14"/>
        <v>0.93677434498550372</v>
      </c>
    </row>
    <row r="15" spans="1:26" x14ac:dyDescent="0.3">
      <c r="D15" s="11"/>
      <c r="E15" s="18"/>
      <c r="F15" s="19"/>
      <c r="G15" s="19"/>
      <c r="H15" s="19"/>
      <c r="I15" s="19"/>
      <c r="J15" s="19"/>
      <c r="K15" s="19"/>
      <c r="L15" s="19"/>
      <c r="M15" s="19">
        <f>($B$7*N14+$B$8*N15)/(1+M3)</f>
        <v>0.80568575629141526</v>
      </c>
      <c r="N15" s="19">
        <f t="shared" ref="N15:N23" si="17">($B$7*O14+$B$8*O15)/(1+N3)</f>
        <v>0.90852297042534225</v>
      </c>
      <c r="O15" s="20">
        <v>1</v>
      </c>
      <c r="Q15" s="18"/>
      <c r="R15" s="19"/>
      <c r="S15" s="19"/>
      <c r="T15" s="19"/>
      <c r="U15" s="19"/>
      <c r="V15" s="19">
        <f>$B$7*W14+$B$8*W15</f>
        <v>0.90874316549222323</v>
      </c>
      <c r="W15" s="19">
        <f t="shared" ref="W15:W20" si="18">$B$7*X14+$B$8*X15</f>
        <v>0.92037562034879894</v>
      </c>
      <c r="X15" s="19">
        <f t="shared" si="16"/>
        <v>0.93065099619414204</v>
      </c>
      <c r="Y15" s="19">
        <f t="shared" si="15"/>
        <v>0.93969642658659169</v>
      </c>
      <c r="Z15" s="20">
        <f t="shared" si="14"/>
        <v>0.94763506429937894</v>
      </c>
    </row>
    <row r="16" spans="1:26" x14ac:dyDescent="0.3">
      <c r="D16" s="11"/>
      <c r="E16" s="18"/>
      <c r="F16" s="19"/>
      <c r="G16" s="19"/>
      <c r="H16" s="19"/>
      <c r="I16" s="19"/>
      <c r="J16" s="19"/>
      <c r="K16" s="19"/>
      <c r="L16" s="19">
        <f>($B$7*M15+$B$8*M16)/(1+L4)</f>
        <v>0.73950152416754389</v>
      </c>
      <c r="M16" s="19">
        <f t="shared" ref="M16:M23" si="19">($B$7*N15+$B$8*N16)/(1+M4)</f>
        <v>0.83643994080688866</v>
      </c>
      <c r="N16" s="19">
        <f t="shared" si="17"/>
        <v>0.92384209440898724</v>
      </c>
      <c r="O16" s="20">
        <v>1</v>
      </c>
      <c r="Q16" s="18"/>
      <c r="R16" s="19"/>
      <c r="S16" s="19"/>
      <c r="T16" s="19"/>
      <c r="U16" s="19">
        <f>$B$7*V15+$B$8*V16</f>
        <v>0.91284726975329022</v>
      </c>
      <c r="V16" s="19">
        <f t="shared" ref="V16:V20" si="20">$B$7*W15+$B$8*W16</f>
        <v>0.92399719686415061</v>
      </c>
      <c r="W16" s="19">
        <f t="shared" si="18"/>
        <v>0.93383620474600115</v>
      </c>
      <c r="X16" s="19">
        <f t="shared" si="16"/>
        <v>0.94248969913283354</v>
      </c>
      <c r="Y16" s="19">
        <f t="shared" si="15"/>
        <v>0.9500783916489608</v>
      </c>
      <c r="Z16" s="20">
        <f t="shared" si="14"/>
        <v>0.95671636186678521</v>
      </c>
    </row>
    <row r="17" spans="4:26" x14ac:dyDescent="0.3">
      <c r="D17" s="11"/>
      <c r="E17" s="18"/>
      <c r="F17" s="19"/>
      <c r="G17" s="19"/>
      <c r="H17" s="19"/>
      <c r="I17" s="19"/>
      <c r="J17" s="19"/>
      <c r="K17" s="19">
        <f>($B$7*L16+$B$8*L17)/(1+K5)</f>
        <v>0.68757483087384619</v>
      </c>
      <c r="L17" s="19">
        <f t="shared" ref="L17:L23" si="21">($B$7*M16+$B$8*M17)/(1+L5)</f>
        <v>0.77932846866097294</v>
      </c>
      <c r="M17" s="19">
        <f t="shared" si="19"/>
        <v>0.86295280694806298</v>
      </c>
      <c r="N17" s="19">
        <f t="shared" si="17"/>
        <v>0.93677434498550372</v>
      </c>
      <c r="O17" s="20">
        <v>1</v>
      </c>
      <c r="Q17" s="18"/>
      <c r="R17" s="19"/>
      <c r="S17" s="19"/>
      <c r="T17" s="19">
        <f>$B$7*U16+$B$8*U17</f>
        <v>0.91677991985456841</v>
      </c>
      <c r="U17" s="19">
        <f t="shared" ref="U17:U20" si="22">$B$7*V16+$B$8*V17</f>
        <v>0.92746404462150833</v>
      </c>
      <c r="V17" s="19">
        <f t="shared" si="20"/>
        <v>0.93688268930987184</v>
      </c>
      <c r="W17" s="19">
        <f t="shared" si="18"/>
        <v>0.94515930185935126</v>
      </c>
      <c r="X17" s="19">
        <f t="shared" si="16"/>
        <v>0.95241201132338604</v>
      </c>
      <c r="Y17" s="19">
        <f t="shared" si="15"/>
        <v>0.95875193049189833</v>
      </c>
      <c r="Z17" s="20">
        <f t="shared" si="14"/>
        <v>0.96428211207487413</v>
      </c>
    </row>
    <row r="18" spans="4:26" x14ac:dyDescent="0.3">
      <c r="D18" s="11"/>
      <c r="E18" s="18"/>
      <c r="F18" s="19"/>
      <c r="G18" s="19"/>
      <c r="H18" s="19"/>
      <c r="I18" s="19"/>
      <c r="J18" s="19">
        <f>($B$7*K17+$B$8*K18)/(1+J6)</f>
        <v>0.64673489630499015</v>
      </c>
      <c r="K18" s="19">
        <f t="shared" ref="K18:K23" si="23">($B$7*L17+$B$8*L18)/(1+K6)</f>
        <v>0.73393916014639804</v>
      </c>
      <c r="L18" s="19">
        <f t="shared" si="21"/>
        <v>0.81410305902176638</v>
      </c>
      <c r="M18" s="19">
        <f t="shared" si="19"/>
        <v>0.88561198078694814</v>
      </c>
      <c r="N18" s="19">
        <f t="shared" si="17"/>
        <v>0.94763506429937894</v>
      </c>
      <c r="O18" s="20">
        <v>1</v>
      </c>
      <c r="Q18" s="18"/>
      <c r="R18" s="19"/>
      <c r="S18" s="19">
        <f>$B$7*T17+$B$8*T18</f>
        <v>0.92054716454577823</v>
      </c>
      <c r="T18" s="19">
        <f t="shared" ref="T18:T20" si="24">$B$7*U17+$B$8*U18</f>
        <v>0.93078192005972427</v>
      </c>
      <c r="U18" s="19">
        <f t="shared" si="22"/>
        <v>0.93979584050272114</v>
      </c>
      <c r="V18" s="19">
        <f t="shared" si="20"/>
        <v>0.94771021630728236</v>
      </c>
      <c r="W18" s="19">
        <f t="shared" si="18"/>
        <v>0.95464047644474714</v>
      </c>
      <c r="X18" s="19">
        <f t="shared" si="16"/>
        <v>0.96069471437139531</v>
      </c>
      <c r="Y18" s="19">
        <f t="shared" si="15"/>
        <v>0.96597282069389756</v>
      </c>
      <c r="Z18" s="20">
        <f t="shared" si="14"/>
        <v>0.97056609529626214</v>
      </c>
    </row>
    <row r="19" spans="4:26" x14ac:dyDescent="0.3">
      <c r="D19" s="11"/>
      <c r="E19" s="18"/>
      <c r="F19" s="19"/>
      <c r="G19" s="19"/>
      <c r="H19" s="19"/>
      <c r="I19" s="19">
        <f>($B$7*J18+$B$8*J19)/(1+I7)</f>
        <v>0.61464059257099435</v>
      </c>
      <c r="J19" s="19">
        <f t="shared" ref="J19:J23" si="25">($B$7*K18+$B$8*K19)/(1+J7)</f>
        <v>0.69784983112940313</v>
      </c>
      <c r="K19" s="19">
        <f t="shared" si="23"/>
        <v>0.7748631108092171</v>
      </c>
      <c r="L19" s="19">
        <f t="shared" si="21"/>
        <v>0.84413849780308947</v>
      </c>
      <c r="M19" s="19">
        <f t="shared" si="19"/>
        <v>0.90483656347520069</v>
      </c>
      <c r="N19" s="19">
        <f t="shared" si="17"/>
        <v>0.95671636186678521</v>
      </c>
      <c r="O19" s="20">
        <v>1</v>
      </c>
      <c r="Q19" s="18"/>
      <c r="R19" s="19">
        <f>$B$7*S18+$B$8*S19</f>
        <v>0.92415493641869584</v>
      </c>
      <c r="S19" s="19">
        <f t="shared" ref="S19:S20" si="26">$B$7*T18+$B$8*T19</f>
        <v>0.93395644019559709</v>
      </c>
      <c r="T19" s="19">
        <f t="shared" si="24"/>
        <v>0.94258089656302335</v>
      </c>
      <c r="U19" s="19">
        <f t="shared" si="22"/>
        <v>0.9501472667370493</v>
      </c>
      <c r="V19" s="19">
        <f t="shared" si="20"/>
        <v>0.95676818397718</v>
      </c>
      <c r="W19" s="19">
        <f t="shared" si="18"/>
        <v>0.96254868622340839</v>
      </c>
      <c r="X19" s="19">
        <f t="shared" si="16"/>
        <v>0.96758551026602113</v>
      </c>
      <c r="Y19" s="19">
        <f t="shared" si="15"/>
        <v>0.97196682468636886</v>
      </c>
      <c r="Z19" s="20">
        <f t="shared" si="14"/>
        <v>0.97577229102159013</v>
      </c>
    </row>
    <row r="20" spans="4:26" x14ac:dyDescent="0.3">
      <c r="D20" s="11"/>
      <c r="E20" s="18"/>
      <c r="F20" s="19"/>
      <c r="G20" s="19"/>
      <c r="H20" s="19">
        <f>($B$7*I19+$B$8*I20)/(1+H8)</f>
        <v>0.58953822243758836</v>
      </c>
      <c r="I20" s="19">
        <f t="shared" ref="I20:I23" si="27">($B$7*J19+$B$8*J20)/(1+I8)</f>
        <v>0.66922997180440014</v>
      </c>
      <c r="J20" s="19">
        <f t="shared" si="25"/>
        <v>0.74338072163985991</v>
      </c>
      <c r="K20" s="19">
        <f t="shared" si="23"/>
        <v>0.8105283474311904</v>
      </c>
      <c r="L20" s="19">
        <f t="shared" si="21"/>
        <v>0.8698447048286434</v>
      </c>
      <c r="M20" s="19">
        <f t="shared" si="19"/>
        <v>0.92104743739014927</v>
      </c>
      <c r="N20" s="19">
        <f t="shared" si="17"/>
        <v>0.96428211207487413</v>
      </c>
      <c r="O20" s="20">
        <v>1</v>
      </c>
      <c r="Q20" s="18">
        <f>$B$7*R19+$B$8*R20</f>
        <v>0.92760904463266081</v>
      </c>
      <c r="R20" s="19">
        <f>$B$7*S19+$B$8*S20</f>
        <v>0.93699307885032956</v>
      </c>
      <c r="S20" s="19">
        <f t="shared" si="26"/>
        <v>0.94524294228179273</v>
      </c>
      <c r="T20" s="19">
        <f t="shared" si="24"/>
        <v>0.95247512105747045</v>
      </c>
      <c r="U20" s="19">
        <f t="shared" si="22"/>
        <v>0.95879937705740237</v>
      </c>
      <c r="V20" s="19">
        <f t="shared" si="20"/>
        <v>0.96431767127019952</v>
      </c>
      <c r="W20" s="19">
        <f t="shared" si="18"/>
        <v>0.96912360530044106</v>
      </c>
      <c r="X20" s="19">
        <f t="shared" si="16"/>
        <v>0.97330226315912327</v>
      </c>
      <c r="Y20" s="19">
        <f t="shared" si="15"/>
        <v>0.97693034877417495</v>
      </c>
      <c r="Z20" s="20">
        <f t="shared" si="14"/>
        <v>0.98007653091530089</v>
      </c>
    </row>
    <row r="21" spans="4:26" x14ac:dyDescent="0.3">
      <c r="D21" s="11"/>
      <c r="E21" s="18"/>
      <c r="F21" s="19"/>
      <c r="G21" s="19">
        <f>($B$7*H20+$B$8*H21)/(1+G9)</f>
        <v>0.5700958598862671</v>
      </c>
      <c r="H21" s="19">
        <f t="shared" ref="H21:H23" si="28">($B$7*I20+$B$8*I21)/(1+H9)</f>
        <v>0.64667794947861146</v>
      </c>
      <c r="I21" s="19">
        <f t="shared" si="27"/>
        <v>0.71822621027092537</v>
      </c>
      <c r="J21" s="19">
        <f t="shared" si="25"/>
        <v>0.78336132183318197</v>
      </c>
      <c r="K21" s="19">
        <f t="shared" si="23"/>
        <v>0.84127985027190622</v>
      </c>
      <c r="L21" s="19">
        <f t="shared" si="21"/>
        <v>0.89167789390071706</v>
      </c>
      <c r="M21" s="19">
        <f t="shared" si="19"/>
        <v>0.93464718353904874</v>
      </c>
      <c r="N21" s="19">
        <f t="shared" si="17"/>
        <v>0.97056609529626214</v>
      </c>
      <c r="O21" s="20">
        <v>1</v>
      </c>
      <c r="Q21" s="27" t="s">
        <v>16</v>
      </c>
      <c r="R21" s="28" t="s">
        <v>17</v>
      </c>
      <c r="S21" s="28"/>
      <c r="T21" s="28"/>
      <c r="U21" s="28"/>
      <c r="V21" s="28"/>
      <c r="W21" s="28"/>
      <c r="X21" s="28"/>
      <c r="Y21" s="28"/>
      <c r="Z21" s="29">
        <f>MAX(Z11-$B$11,0)</f>
        <v>0.19048768586942988</v>
      </c>
    </row>
    <row r="22" spans="4:26" x14ac:dyDescent="0.3">
      <c r="D22" s="11"/>
      <c r="E22" s="18"/>
      <c r="F22" s="19">
        <f>($B$7*G21+$B$8*G22)/(1+F10)</f>
        <v>0.55528838307952921</v>
      </c>
      <c r="G22" s="19">
        <f t="shared" ref="G22:G23" si="29">($B$7*H21+$B$8*H22)/(1+G10)</f>
        <v>0.62910691453651579</v>
      </c>
      <c r="H22" s="19">
        <f t="shared" si="28"/>
        <v>0.69828280618193539</v>
      </c>
      <c r="I22" s="19">
        <f t="shared" si="27"/>
        <v>0.76152000797420649</v>
      </c>
      <c r="J22" s="19">
        <f t="shared" si="25"/>
        <v>0.81804878672762338</v>
      </c>
      <c r="K22" s="19">
        <f t="shared" si="23"/>
        <v>0.8675582242541372</v>
      </c>
      <c r="L22" s="19">
        <f t="shared" si="21"/>
        <v>0.91010348465910873</v>
      </c>
      <c r="M22" s="19">
        <f t="shared" si="19"/>
        <v>0.94600781972141634</v>
      </c>
      <c r="N22" s="19">
        <f t="shared" si="17"/>
        <v>0.97577229102159013</v>
      </c>
      <c r="O22" s="20">
        <v>1</v>
      </c>
      <c r="Q22" s="30"/>
      <c r="R22" s="31"/>
      <c r="S22" s="31"/>
      <c r="T22" s="31"/>
      <c r="U22" s="31"/>
      <c r="V22" s="31"/>
      <c r="W22" s="31"/>
      <c r="X22" s="31"/>
      <c r="Y22" s="31">
        <f>MAX(($B$7*Z21+$B$8*Z22)/EXP(($C$3*$B$2)/$B$10),MAX(Y12-$B$11,0))</f>
        <v>0.19534008759791299</v>
      </c>
      <c r="Z22" s="32">
        <f t="shared" ref="Z22:Z28" si="30">MAX(Z12-$B$11,0)</f>
        <v>0.20852297042534229</v>
      </c>
    </row>
    <row r="23" spans="4:26" x14ac:dyDescent="0.3">
      <c r="D23" s="11"/>
      <c r="E23" s="21">
        <f>($B$7*F22+$B$8*F23)/(1+E11)</f>
        <v>0.54431658552456652</v>
      </c>
      <c r="F23" s="22">
        <f>($B$7*G22+$B$8*G23)/(1+F11)</f>
        <v>0.61566379113954495</v>
      </c>
      <c r="G23" s="22">
        <f t="shared" si="29"/>
        <v>0.68266808665613621</v>
      </c>
      <c r="H23" s="22">
        <f t="shared" si="28"/>
        <v>0.7441156510596133</v>
      </c>
      <c r="I23" s="22">
        <f t="shared" si="27"/>
        <v>0.79927636215014874</v>
      </c>
      <c r="J23" s="22">
        <f t="shared" si="25"/>
        <v>0.84784291387301935</v>
      </c>
      <c r="K23" s="22">
        <f t="shared" si="23"/>
        <v>0.88984707505823846</v>
      </c>
      <c r="L23" s="22">
        <f t="shared" si="21"/>
        <v>0.92557088713407498</v>
      </c>
      <c r="M23" s="22">
        <f t="shared" si="19"/>
        <v>0.95546445605957142</v>
      </c>
      <c r="N23" s="22">
        <f t="shared" si="17"/>
        <v>0.98007653091530089</v>
      </c>
      <c r="O23" s="23">
        <v>1</v>
      </c>
      <c r="Q23" s="30"/>
      <c r="R23" s="31"/>
      <c r="S23" s="31"/>
      <c r="T23" s="31"/>
      <c r="U23" s="31"/>
      <c r="V23" s="31"/>
      <c r="W23" s="31"/>
      <c r="X23" s="31">
        <f>MAX(($B$7*Y22+$B$8*Y23)/EXP(($C$3*$B$2)/$B$10),MAX(X13-$B$11,0))</f>
        <v>0.19999587147746956</v>
      </c>
      <c r="Y23" s="31">
        <f t="shared" ref="Y23:Y30" si="31">MAX(($B$7*Z22+$B$8*Z23)/EXP(($C$3*$B$2)/$B$10),MAX(Y13-$B$11,0))</f>
        <v>0.21264458788397655</v>
      </c>
      <c r="Z23" s="32">
        <f t="shared" si="30"/>
        <v>0.22384209440898728</v>
      </c>
    </row>
    <row r="24" spans="4:26" x14ac:dyDescent="0.3"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30"/>
      <c r="R24" s="31"/>
      <c r="S24" s="31"/>
      <c r="T24" s="31"/>
      <c r="U24" s="31"/>
      <c r="V24" s="31"/>
      <c r="W24" s="31">
        <f>MAX(($B$7*X23+$B$8*X24)/EXP(($C$3*$B$2)/$B$10),MAX(W14-$B$11,0))</f>
        <v>0.20446145072683786</v>
      </c>
      <c r="X24" s="31">
        <f t="shared" ref="X24:X30" si="32">MAX(($B$7*Y23+$B$8*Y24)/EXP(($C$3*$B$2)/$B$10),MAX(X14-$B$11,0))</f>
        <v>0.21659342398359938</v>
      </c>
      <c r="Y24" s="31">
        <f t="shared" si="31"/>
        <v>0.22732152246326187</v>
      </c>
      <c r="Z24" s="32">
        <f t="shared" si="30"/>
        <v>0.23677434498550376</v>
      </c>
    </row>
    <row r="25" spans="4:26" x14ac:dyDescent="0.3">
      <c r="Q25" s="30"/>
      <c r="R25" s="31"/>
      <c r="S25" s="31"/>
      <c r="T25" s="31"/>
      <c r="U25" s="31"/>
      <c r="V25" s="31">
        <f>MAX(($B$7*W24+$B$8*W25)/EXP(($C$3*$B$2)/$B$10),MAX(V15-$B$11,0))</f>
        <v>0.20874316549222327</v>
      </c>
      <c r="W25" s="31">
        <f t="shared" ref="W25:W30" si="33">MAX(($B$7*X24+$B$8*X25)/EXP(($C$3*$B$2)/$B$10),MAX(W15-$B$11,0))</f>
        <v>0.22037562034879898</v>
      </c>
      <c r="X25" s="31">
        <f t="shared" si="32"/>
        <v>0.23065099619414209</v>
      </c>
      <c r="Y25" s="31">
        <f t="shared" si="31"/>
        <v>0.23969642658659174</v>
      </c>
      <c r="Z25" s="32">
        <f t="shared" si="30"/>
        <v>0.24763506429937898</v>
      </c>
    </row>
    <row r="26" spans="4:26" x14ac:dyDescent="0.3">
      <c r="Q26" s="30"/>
      <c r="R26" s="31"/>
      <c r="S26" s="31"/>
      <c r="T26" s="31"/>
      <c r="U26" s="31">
        <f>MAX(($B$7*V25+$B$8*V26)/EXP(($C$3*$B$2)/$B$10),MAX(U16-$B$11,0))</f>
        <v>0.21284726975329027</v>
      </c>
      <c r="V26" s="31">
        <f t="shared" ref="V26:V30" si="34">MAX(($B$7*W25+$B$8*W26)/EXP(($C$3*$B$2)/$B$10),MAX(V16-$B$11,0))</f>
        <v>0.22399719686415065</v>
      </c>
      <c r="W26" s="31">
        <f t="shared" si="33"/>
        <v>0.2338362047460012</v>
      </c>
      <c r="X26" s="31">
        <f t="shared" si="32"/>
        <v>0.24248969913283358</v>
      </c>
      <c r="Y26" s="31">
        <f t="shared" si="31"/>
        <v>0.25007839164896084</v>
      </c>
      <c r="Z26" s="32">
        <f t="shared" si="30"/>
        <v>0.25671636186678526</v>
      </c>
    </row>
    <row r="27" spans="4:26" x14ac:dyDescent="0.3">
      <c r="Q27" s="30"/>
      <c r="R27" s="31"/>
      <c r="S27" s="31"/>
      <c r="T27" s="31">
        <f>MAX(($B$7*U26+$B$8*U27)/EXP(($C$3*$B$2)/$B$10),MAX(T17-$B$11,0))</f>
        <v>0.21677991985456846</v>
      </c>
      <c r="U27" s="31">
        <f t="shared" ref="U27:U30" si="35">MAX(($B$7*V26+$B$8*V27)/EXP(($C$3*$B$2)/$B$10),MAX(U17-$B$11,0))</f>
        <v>0.22746404462150838</v>
      </c>
      <c r="V27" s="31">
        <f t="shared" si="34"/>
        <v>0.23688268930987189</v>
      </c>
      <c r="W27" s="31">
        <f t="shared" si="33"/>
        <v>0.24515930185935131</v>
      </c>
      <c r="X27" s="31">
        <f t="shared" si="32"/>
        <v>0.25241201132338609</v>
      </c>
      <c r="Y27" s="31">
        <f t="shared" si="31"/>
        <v>0.25875193049189837</v>
      </c>
      <c r="Z27" s="32">
        <f t="shared" si="30"/>
        <v>0.26428211207487418</v>
      </c>
    </row>
    <row r="28" spans="4:26" x14ac:dyDescent="0.3">
      <c r="Q28" s="30"/>
      <c r="R28" s="31"/>
      <c r="S28" s="31">
        <f>MAX(($B$7*T27+$B$8*T28)/EXP(($C$3*$B$2)/$B$10),MAX(S18-$B$11,0))</f>
        <v>0.22054716454577827</v>
      </c>
      <c r="T28" s="31">
        <f t="shared" ref="T28:T30" si="36">MAX(($B$7*U27+$B$8*U28)/EXP(($C$3*$B$2)/$B$10),MAX(T18-$B$11,0))</f>
        <v>0.23078192005972431</v>
      </c>
      <c r="U28" s="31">
        <f t="shared" si="35"/>
        <v>0.23979584050272118</v>
      </c>
      <c r="V28" s="31">
        <f t="shared" si="34"/>
        <v>0.2477102163072824</v>
      </c>
      <c r="W28" s="31">
        <f t="shared" si="33"/>
        <v>0.25464047644474719</v>
      </c>
      <c r="X28" s="31">
        <f t="shared" si="32"/>
        <v>0.26069471437139535</v>
      </c>
      <c r="Y28" s="31">
        <f t="shared" si="31"/>
        <v>0.2659728206938976</v>
      </c>
      <c r="Z28" s="32">
        <f t="shared" si="30"/>
        <v>0.27056609529626219</v>
      </c>
    </row>
    <row r="29" spans="4:26" x14ac:dyDescent="0.3">
      <c r="Q29" s="30"/>
      <c r="R29" s="31">
        <f>MAX(($B$7*S28+$B$8*S29)/EXP(($C$3*$B$2)/$B$10),MAX(R19-$B$11,0))</f>
        <v>0.22415493641869588</v>
      </c>
      <c r="S29" s="31">
        <f t="shared" ref="S29:S30" si="37">MAX(($B$7*T28+$B$8*T29)/EXP(($C$3*$B$2)/$B$10),MAX(S19-$B$11,0))</f>
        <v>0.23395644019559714</v>
      </c>
      <c r="T29" s="31">
        <f t="shared" si="36"/>
        <v>0.2425808965630234</v>
      </c>
      <c r="U29" s="31">
        <f t="shared" si="35"/>
        <v>0.25014726673704935</v>
      </c>
      <c r="V29" s="31">
        <f t="shared" si="34"/>
        <v>0.25676818397718004</v>
      </c>
      <c r="W29" s="31">
        <f t="shared" si="33"/>
        <v>0.26254868622340843</v>
      </c>
      <c r="X29" s="31">
        <f t="shared" si="32"/>
        <v>0.26758551026602118</v>
      </c>
      <c r="Y29" s="31">
        <f t="shared" si="31"/>
        <v>0.2719668246863689</v>
      </c>
      <c r="Z29" s="32">
        <f>MAX(Z19-$B$11,0)</f>
        <v>0.27577229102159018</v>
      </c>
    </row>
    <row r="30" spans="4:26" x14ac:dyDescent="0.3">
      <c r="Q30" s="33">
        <f>MAX(($B$7*R29+$B$8*R30)/EXP(($C$3*$B$2)/$B$10),MAX(Q20-$B$11,0))</f>
        <v>0.22760904463266085</v>
      </c>
      <c r="R30" s="34">
        <f>MAX(($B$7*S29+$B$8*S30)/EXP(($C$3*$B$2)/$B$10),MAX(R20-$B$11,0))</f>
        <v>0.23699307885032961</v>
      </c>
      <c r="S30" s="34">
        <f t="shared" si="37"/>
        <v>0.24524294228179278</v>
      </c>
      <c r="T30" s="34">
        <f t="shared" si="36"/>
        <v>0.2524751210574705</v>
      </c>
      <c r="U30" s="34">
        <f t="shared" si="35"/>
        <v>0.25879937705740241</v>
      </c>
      <c r="V30" s="34">
        <f t="shared" si="34"/>
        <v>0.26431767127019956</v>
      </c>
      <c r="W30" s="34">
        <f t="shared" si="33"/>
        <v>0.2691236053004411</v>
      </c>
      <c r="X30" s="34">
        <f t="shared" si="32"/>
        <v>0.27330226315912332</v>
      </c>
      <c r="Y30" s="34">
        <f t="shared" si="31"/>
        <v>0.27693034877417499</v>
      </c>
      <c r="Z30" s="35">
        <f>MAX(Z20-$B$11,0)</f>
        <v>0.28007653091530094</v>
      </c>
    </row>
    <row r="31" spans="4:26" x14ac:dyDescent="0.3">
      <c r="Q31" s="15"/>
      <c r="R31" s="16" t="s">
        <v>18</v>
      </c>
      <c r="S31" s="16"/>
      <c r="T31" s="16"/>
      <c r="U31" s="16"/>
      <c r="V31" s="16"/>
      <c r="W31" s="16"/>
      <c r="X31" s="16"/>
      <c r="Y31" s="16"/>
      <c r="Z31" s="17">
        <f>MAX(Z11-B$12,0)</f>
        <v>9.048768586942979E-2</v>
      </c>
    </row>
    <row r="32" spans="4:26" x14ac:dyDescent="0.3">
      <c r="Q32" s="18"/>
      <c r="R32" s="19"/>
      <c r="S32" s="19"/>
      <c r="T32" s="19"/>
      <c r="U32" s="19"/>
      <c r="V32" s="19"/>
      <c r="W32" s="19"/>
      <c r="X32" s="19"/>
      <c r="Y32" s="19">
        <f>MAX(($B$7*Z31+$B$8*Z32)/EXP(($C$3*$B$2)/$B$10),MAX(Y12-$B$12,0))</f>
        <v>9.5340087597912904E-2</v>
      </c>
      <c r="Z32" s="20">
        <f>MAX(Z12-B$12,0)</f>
        <v>0.1085229704253422</v>
      </c>
    </row>
    <row r="33" spans="17:26" x14ac:dyDescent="0.3">
      <c r="Q33" s="18"/>
      <c r="R33" s="19"/>
      <c r="S33" s="19"/>
      <c r="T33" s="19"/>
      <c r="U33" s="19"/>
      <c r="V33" s="19"/>
      <c r="W33" s="19"/>
      <c r="X33" s="19">
        <f>MAX(($B$7*Y32+$B$8*Y33)/EXP(($C$3*$B$2)/$B$10),MAX(X13-$B$12,0))</f>
        <v>9.9995871477469467E-2</v>
      </c>
      <c r="Y33" s="19">
        <f t="shared" ref="Y33:Y40" si="38">MAX(($B$7*Z32+$B$8*Z33)/EXP(($C$3*$B$2)/$B$10),MAX(Y13-$B$12,0))</f>
        <v>0.11264458788397647</v>
      </c>
      <c r="Z33" s="20">
        <f t="shared" ref="Z33:Z39" si="39">MAX(Z13-B$12,0)</f>
        <v>0.12384209440898719</v>
      </c>
    </row>
    <row r="34" spans="17:26" x14ac:dyDescent="0.3">
      <c r="Q34" s="18"/>
      <c r="R34" s="19"/>
      <c r="S34" s="19"/>
      <c r="T34" s="19"/>
      <c r="U34" s="19"/>
      <c r="V34" s="19"/>
      <c r="W34" s="19">
        <f>MAX(($B$7*X33+$B$8*X34)/EXP(($C$3*$B$2)/$B$10),MAX(W14-$B$12,0))</f>
        <v>0.10446145072683777</v>
      </c>
      <c r="X34" s="19">
        <f t="shared" ref="X34:X40" si="40">MAX(($B$7*Y33+$B$8*Y34)/EXP(($C$3*$B$2)/$B$10),MAX(X14-$B$12,0))</f>
        <v>0.11659342398359929</v>
      </c>
      <c r="Y34" s="19">
        <f t="shared" si="38"/>
        <v>0.12732152246326178</v>
      </c>
      <c r="Z34" s="20">
        <f t="shared" si="39"/>
        <v>0.13677434498550367</v>
      </c>
    </row>
    <row r="35" spans="17:26" x14ac:dyDescent="0.3">
      <c r="Q35" s="18"/>
      <c r="R35" s="19"/>
      <c r="S35" s="19"/>
      <c r="T35" s="19"/>
      <c r="U35" s="19"/>
      <c r="V35" s="19">
        <f>MAX(($B$7*W34+$B$8*W35)/EXP(($C$3*$B$2)/$B$10),MAX(V15-$B$12,0))</f>
        <v>0.10874316549222318</v>
      </c>
      <c r="W35" s="19">
        <f t="shared" ref="W35:W40" si="41">MAX(($B$7*X34+$B$8*X35)/EXP(($C$3*$B$2)/$B$10),MAX(W15-$B$12,0))</f>
        <v>0.1203756203487989</v>
      </c>
      <c r="X35" s="19">
        <f t="shared" si="40"/>
        <v>0.130650996194142</v>
      </c>
      <c r="Y35" s="19">
        <f t="shared" si="38"/>
        <v>0.13969642658659165</v>
      </c>
      <c r="Z35" s="20">
        <f t="shared" si="39"/>
        <v>0.14763506429937889</v>
      </c>
    </row>
    <row r="36" spans="17:26" x14ac:dyDescent="0.3">
      <c r="Q36" s="18"/>
      <c r="R36" s="19"/>
      <c r="S36" s="19"/>
      <c r="T36" s="19"/>
      <c r="U36" s="19">
        <f>MAX(($B$7*V35+$B$8*V36)/EXP(($C$3*$B$2)/$B$10),MAX(U16-$B$12,0))</f>
        <v>0.11284726975329018</v>
      </c>
      <c r="V36" s="19">
        <f t="shared" ref="V36:V40" si="42">MAX(($B$7*W35+$B$8*W36)/EXP(($C$3*$B$2)/$B$10),MAX(V16-$B$12,0))</f>
        <v>0.12399719686415056</v>
      </c>
      <c r="W36" s="19">
        <f t="shared" si="41"/>
        <v>0.13383620474600111</v>
      </c>
      <c r="X36" s="19">
        <f t="shared" si="40"/>
        <v>0.14248969913283349</v>
      </c>
      <c r="Y36" s="19">
        <f t="shared" si="38"/>
        <v>0.15007839164896075</v>
      </c>
      <c r="Z36" s="20">
        <f t="shared" si="39"/>
        <v>0.15671636186678517</v>
      </c>
    </row>
    <row r="37" spans="17:26" x14ac:dyDescent="0.3">
      <c r="Q37" s="18"/>
      <c r="R37" s="19"/>
      <c r="S37" s="19"/>
      <c r="T37" s="19">
        <f>MAX(($B$7*U36+$B$8*U37)/EXP(($C$3*$B$2)/$B$10),MAX(T17-$B$12,0))</f>
        <v>0.11677991985456837</v>
      </c>
      <c r="U37" s="19">
        <f t="shared" ref="U37:U40" si="43">MAX(($B$7*V36+$B$8*V37)/EXP(($C$3*$B$2)/$B$10),MAX(U17-$B$12,0))</f>
        <v>0.12746404462150829</v>
      </c>
      <c r="V37" s="19">
        <f t="shared" si="42"/>
        <v>0.1368826893098718</v>
      </c>
      <c r="W37" s="19">
        <f t="shared" si="41"/>
        <v>0.14515930185935122</v>
      </c>
      <c r="X37" s="19">
        <f t="shared" si="40"/>
        <v>0.152412011323386</v>
      </c>
      <c r="Y37" s="19">
        <f t="shared" si="38"/>
        <v>0.15875193049189829</v>
      </c>
      <c r="Z37" s="20">
        <f t="shared" si="39"/>
        <v>0.16428211207487409</v>
      </c>
    </row>
    <row r="38" spans="17:26" x14ac:dyDescent="0.3">
      <c r="Q38" s="18"/>
      <c r="R38" s="19"/>
      <c r="S38" s="19">
        <f>MAX(($B$7*T37+$B$8*T38)/EXP(($C$3*$B$2)/$B$10),MAX(S18-$B$12,0))</f>
        <v>0.12054716454577818</v>
      </c>
      <c r="T38" s="19">
        <f t="shared" ref="T38:T40" si="44">MAX(($B$7*U37+$B$8*U38)/EXP(($C$3*$B$2)/$B$10),MAX(T18-$B$12,0))</f>
        <v>0.13078192005972422</v>
      </c>
      <c r="U38" s="19">
        <f t="shared" si="43"/>
        <v>0.13979584050272109</v>
      </c>
      <c r="V38" s="19">
        <f t="shared" si="42"/>
        <v>0.14771021630728232</v>
      </c>
      <c r="W38" s="19">
        <f t="shared" si="41"/>
        <v>0.1546404764447471</v>
      </c>
      <c r="X38" s="19">
        <f t="shared" si="40"/>
        <v>0.16069471437139526</v>
      </c>
      <c r="Y38" s="19">
        <f t="shared" si="38"/>
        <v>0.16597282069389752</v>
      </c>
      <c r="Z38" s="20">
        <f t="shared" si="39"/>
        <v>0.1705660952962621</v>
      </c>
    </row>
    <row r="39" spans="17:26" x14ac:dyDescent="0.3">
      <c r="Q39" s="18"/>
      <c r="R39" s="19">
        <f>MAX(($B$7*S38+$B$8*S39)/EXP(($C$3*$B$2)/$B$10),MAX(R19-$B$12,0))</f>
        <v>0.12415493641869579</v>
      </c>
      <c r="S39" s="19">
        <f t="shared" ref="S39:S40" si="45">MAX(($B$7*T38+$B$8*T39)/EXP(($C$3*$B$2)/$B$10),MAX(S19-$B$12,0))</f>
        <v>0.13395644019559705</v>
      </c>
      <c r="T39" s="19">
        <f t="shared" si="44"/>
        <v>0.14258089656302331</v>
      </c>
      <c r="U39" s="19">
        <f t="shared" si="43"/>
        <v>0.15014726673704926</v>
      </c>
      <c r="V39" s="19">
        <f t="shared" si="42"/>
        <v>0.15676818397717995</v>
      </c>
      <c r="W39" s="19">
        <f t="shared" si="41"/>
        <v>0.16254868622340835</v>
      </c>
      <c r="X39" s="19">
        <f t="shared" si="40"/>
        <v>0.16758551026602109</v>
      </c>
      <c r="Y39" s="19">
        <f t="shared" si="38"/>
        <v>0.17196682468636881</v>
      </c>
      <c r="Z39" s="20">
        <f t="shared" si="39"/>
        <v>0.17577229102159009</v>
      </c>
    </row>
    <row r="40" spans="17:26" x14ac:dyDescent="0.3">
      <c r="Q40" s="21">
        <f>MAX(($B$7*R39+$B$8*R40)/EXP(($C$3*$B$2)/$B$10),MAX(Q20-$B$12,0))</f>
        <v>0.12760904463266076</v>
      </c>
      <c r="R40" s="22">
        <f>MAX(($B$7*S39+$B$8*S40)/EXP(($C$3*$B$2)/$B$10),MAX(R20-$B$12,0))</f>
        <v>0.13699307885032952</v>
      </c>
      <c r="S40" s="22">
        <f t="shared" si="45"/>
        <v>0.14524294228179269</v>
      </c>
      <c r="T40" s="22">
        <f t="shared" si="44"/>
        <v>0.15247512105747041</v>
      </c>
      <c r="U40" s="22">
        <f t="shared" si="43"/>
        <v>0.15879937705740232</v>
      </c>
      <c r="V40" s="22">
        <f t="shared" si="42"/>
        <v>0.16431767127019947</v>
      </c>
      <c r="W40" s="22">
        <f t="shared" si="41"/>
        <v>0.16912360530044102</v>
      </c>
      <c r="X40" s="22">
        <f t="shared" si="40"/>
        <v>0.17330226315912323</v>
      </c>
      <c r="Y40" s="19">
        <f t="shared" si="38"/>
        <v>0.17693034877417491</v>
      </c>
      <c r="Z40" s="23">
        <f>MAX(Z20-B$12,0)</f>
        <v>0.18007653091530085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Шевченко</dc:creator>
  <cp:lastModifiedBy>Владислав Шевченко</cp:lastModifiedBy>
  <dcterms:created xsi:type="dcterms:W3CDTF">2015-06-05T18:19:34Z</dcterms:created>
  <dcterms:modified xsi:type="dcterms:W3CDTF">2026-03-22T09:00:08Z</dcterms:modified>
</cp:coreProperties>
</file>